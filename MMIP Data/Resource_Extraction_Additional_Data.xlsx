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7d6845c1f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dd3128fd4be4d9c"/>
    <x:sheet xmlns:r="http://schemas.openxmlformats.org/officeDocument/2006/relationships" name="Additional Extraction Sites" sheetId="2" r:id="Rc40b9cdcb9094d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374151"/>
      <x:name val="Carlito"/>
    </x:font>
    <x:font>
      <x:b/>
      <x:sz val="11"/>
      <x:color rgb="FFFFFFFF"/>
      <x:name val="Carlito"/>
    </x:font>
    <x:font>
      <x:sz val="10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E5E7EB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c0ab7bc2134a83" /><Relationship Type="http://schemas.openxmlformats.org/officeDocument/2006/relationships/theme" Target="/xl/theme/theme1.xml" Id="Rfdf43d406ae54d7c" /><Relationship Type="http://schemas.openxmlformats.org/officeDocument/2006/relationships/sharedStrings" Target="/xl/sharedStrings.xml" Id="R2375100ab15049d7" /><Relationship Type="http://schemas.openxmlformats.org/officeDocument/2006/relationships/worksheet" Target="/xl/worksheets/sheet1.xml" Id="Radd3128fd4be4d9c" /><Relationship Type="http://schemas.openxmlformats.org/officeDocument/2006/relationships/worksheet" Target="/xl/worksheets/sheet2.xml" Id="Rc40b9cdcb9094d54" /></Relationships>
</file>

<file path=xl/tables/table1.xml><?xml version="1.0" encoding="utf-8"?>
<x:table xmlns:x="http://schemas.openxmlformats.org/spreadsheetml/2006/main" id="1" name="AdditionalExtractionSites" displayName="AdditionalExtractionSites" ref="A1:K53" headerRowCount="1" totalsRowCount="0" totalsRowShown="0">
  <x:tableColumns count="11">
    <x:tableColumn id="1" name="site_name"/>
    <x:tableColumn id="2" name="operator"/>
    <x:tableColumn id="3" name="state"/>
    <x:tableColumn id="4" name="latitude"/>
    <x:tableColumn id="5" name="longitude"/>
    <x:tableColumn id="6" name="number_of_workers"/>
    <x:tableColumn id="7" name="category"/>
    <x:tableColumn id="8" name="nearest_city_or_town"/>
    <x:tableColumn id="9" name="coordinate_precision"/>
    <x:tableColumn id="10" name="source_urls"/>
    <x:tableColumn id="11" name="evidence_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3af936700a42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30" customHeight="1">
      <x:c r="A1" s="2" t="str">
        <x:v>Additional U.S. Resource Extraction Sites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3" ht="15" hidden="0" customHeight="1">
      <x:c r="A3" s="6" t="str">
        <x:v>Scope</x:v>
      </x:c>
      <x:c r="B3" s="8" t="str">
        <x:v>52 additional individually named U.S. extraction sites/fields across the requested categories.</x:v>
      </x:c>
    </x:row>
    <x:row r="4" ht="39.599998474121094" hidden="0" customHeight="1">
      <x:c r="A4" s="6" t="str">
        <x:v>Exclusions</x:v>
      </x:c>
      <x:c r="B4" s="8" t="str">
        <x:v>Compared against Resource_Extraction_Site_Data.xlsx. Chino, Morenci, Bingham Canyon, Fort Knox, Black Thunder, Prudhoe Bay, and the uploaded broad regional entries were excluded. Individual facilities inside a broad region were retained only when separately named and sourced.</x:v>
      </x:c>
    </x:row>
    <x:row r="5" ht="26.399999618530273" hidden="0" customHeight="1">
      <x:c r="A5" s="6" t="str">
        <x:v>Coordinates</x:v>
      </x:c>
      <x:c r="B5" s="8" t="str">
        <x:v>Coordinates are representative site or field centroids, rounded to three decimals. They should not be interpreted as lease boundaries, polygon footprints, entrances, or individual wellheads. coordinate_precision identifies this limitation.</x:v>
      </x:c>
    </x:row>
    <x:row r="6" ht="26.399999618530273" hidden="0" customHeight="1">
      <x:c r="A6" s="6" t="str">
        <x:v>Workers</x:v>
      </x:c>
      <x:c r="B6" s="8" t="str">
        <x:v>unknown means no defensible site-specific headcount was found. Historical employee figures are used only for North Antelope Rochelle and Tilden and are explicitly dated in evidence_notes.</x:v>
      </x:c>
    </x:row>
    <x:row r="7" ht="15" hidden="0" customHeight="1">
      <x:c r="A7" s="6" t="str">
        <x:v>Categories</x:v>
      </x:c>
      <x:c r="B7" s="8" t="str">
        <x:v>Values are limited to: oil, natural_gas, coal, crushed_stone, sand_gravel, cement, gold, copper, iron_ore.</x:v>
      </x:c>
    </x:row>
    <x:row r="8" ht="26.399999618530273" hidden="0" customHeight="1">
      <x:c r="A8" s="6" t="str">
        <x:v>Sources</x:v>
      </x:c>
      <x:c r="B8" s="8" t="str">
        <x:v>Each row includes one or more public URLs. Operator pages establish named operations; EIA/MSHA/state portals support government-reported mines or fields.</x:v>
      </x:c>
    </x:row>
    <x:row r="9" ht="15" hidden="0" customHeight="1">
      <x:c r="A9" s="6" t="str">
        <x:v>Use caution</x:v>
      </x:c>
      <x:c r="B9" s="8" t="str">
        <x:v>Operational status, ownership, and staffing can change. Re-verify before publication or causal/spatial analysis.</x:v>
      </x:c>
    </x:row>
  </x:sheetData>
  <x:mergeCells>
    <x:mergeCell ref="A1:K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7" hidden="0" customWidth="1"/>
    <x:col min="3" max="3" width="9" hidden="0" customWidth="1"/>
    <x:col min="4" max="4" width="12" hidden="0" customWidth="1"/>
    <x:col min="5" max="5" width="13" hidden="0" customWidth="1"/>
    <x:col min="6" max="6" width="18" hidden="0" customWidth="1"/>
    <x:col min="7" max="7" width="16" hidden="0" customWidth="1"/>
    <x:col min="8" max="8" width="24" hidden="0" customWidth="1"/>
    <x:col min="9" max="9" width="27" hidden="0" customWidth="1"/>
    <x:col min="10" max="10" width="62" hidden="0" customWidth="1"/>
    <x:col min="11" max="11" width="54" hidden="0" customWidth="1"/>
  </x:cols>
  <x:sheetData>
    <x:row r="1" ht="38" customHeight="1">
      <x:c r="A1" s="11" t="str">
        <x:v>site_name</x:v>
      </x:c>
      <x:c r="B1" s="11" t="str">
        <x:v>operator</x:v>
      </x:c>
      <x:c r="C1" s="11" t="str">
        <x:v>state</x:v>
      </x:c>
      <x:c r="D1" s="11" t="str">
        <x:v>latitude</x:v>
      </x:c>
      <x:c r="E1" s="11" t="str">
        <x:v>longitude</x:v>
      </x:c>
      <x:c r="F1" s="11" t="str">
        <x:v>number_of_workers</x:v>
      </x:c>
      <x:c r="G1" s="11" t="str">
        <x:v>category</x:v>
      </x:c>
      <x:c r="H1" s="11" t="str">
        <x:v>nearest_city_or_town</x:v>
      </x:c>
      <x:c r="I1" s="11" t="str">
        <x:v>coordinate_precision</x:v>
      </x:c>
      <x:c r="J1" s="11" t="str">
        <x:v>source_urls</x:v>
      </x:c>
      <x:c r="K1" s="11" t="str">
        <x:v>evidence_notes</x:v>
      </x:c>
    </x:row>
    <x:row r="2">
      <x:c r="A2" s="14" t="str">
        <x:v>Bagdad Mine</x:v>
      </x:c>
      <x:c r="B2" s="14" t="str">
        <x:v>Freeport-McMoRan</x:v>
      </x:c>
      <x:c r="C2" s="14" t="str">
        <x:v>AZ</x:v>
      </x:c>
      <x:c r="D2" s="16" t="n">
        <x:v>34.581</x:v>
      </x:c>
      <x:c r="E2" s="16" t="n">
        <x:v>-113.18</x:v>
      </x:c>
      <x:c r="F2" s="17" t="str">
        <x:v>unknown</x:v>
      </x:c>
      <x:c r="G2" s="17" t="str">
        <x:v>copper</x:v>
      </x:c>
      <x:c r="H2" s="14" t="str">
        <x:v>Bagdad</x:v>
      </x:c>
      <x:c r="I2" s="14" t="str">
        <x:v>approximate mine centroid</x:v>
      </x:c>
      <x:c r="J2" s="14" t="str">
        <x:v>https://www.fcx.com/operations/north-america</x:v>
      </x:c>
      <x:c r="K2" s="14" t="str">
        <x:v>Official operator source confirms the named operation; worker count not site-specifically published on cited page.</x:v>
      </x:c>
    </x:row>
    <x:row r="3">
      <x:c r="A3" s="14" t="str">
        <x:v>Safford / Lone Star Mine</x:v>
      </x:c>
      <x:c r="B3" s="14" t="str">
        <x:v>Freeport-McMoRan</x:v>
      </x:c>
      <x:c r="C3" s="14" t="str">
        <x:v>AZ</x:v>
      </x:c>
      <x:c r="D3" s="16" t="n">
        <x:v>32.815</x:v>
      </x:c>
      <x:c r="E3" s="16" t="n">
        <x:v>-109.707</x:v>
      </x:c>
      <x:c r="F3" s="17" t="str">
        <x:v>unknown</x:v>
      </x:c>
      <x:c r="G3" s="17" t="str">
        <x:v>copper</x:v>
      </x:c>
      <x:c r="H3" s="14" t="str">
        <x:v>Safford</x:v>
      </x:c>
      <x:c r="I3" s="14" t="str">
        <x:v>approximate mine centroid</x:v>
      </x:c>
      <x:c r="J3" s="14" t="str">
        <x:v>https://www.fcx.com/operations/north-america</x:v>
      </x:c>
      <x:c r="K3" s="14" t="str">
        <x:v>Combined named operating area; not the excluded Morenci Mine.</x:v>
      </x:c>
    </x:row>
    <x:row r="4">
      <x:c r="A4" s="14" t="str">
        <x:v>Sierrita Mine</x:v>
      </x:c>
      <x:c r="B4" s="14" t="str">
        <x:v>Freeport-McMoRan</x:v>
      </x:c>
      <x:c r="C4" s="14" t="str">
        <x:v>AZ</x:v>
      </x:c>
      <x:c r="D4" s="16" t="n">
        <x:v>31.87</x:v>
      </x:c>
      <x:c r="E4" s="16" t="n">
        <x:v>-111.17</x:v>
      </x:c>
      <x:c r="F4" s="17" t="str">
        <x:v>unknown</x:v>
      </x:c>
      <x:c r="G4" s="17" t="str">
        <x:v>copper</x:v>
      </x:c>
      <x:c r="H4" s="14" t="str">
        <x:v>Green Valley</x:v>
      </x:c>
      <x:c r="I4" s="14" t="str">
        <x:v>approximate mine centroid</x:v>
      </x:c>
      <x:c r="J4" s="14" t="str">
        <x:v>https://www.fcx.com/operations/north-america</x:v>
      </x:c>
      <x:c r="K4" s="14" t="str">
        <x:v>Official operator source confirms operation.</x:v>
      </x:c>
    </x:row>
    <x:row r="5">
      <x:c r="A5" s="14" t="str">
        <x:v>Miami Mine</x:v>
      </x:c>
      <x:c r="B5" s="14" t="str">
        <x:v>Freeport-McMoRan</x:v>
      </x:c>
      <x:c r="C5" s="14" t="str">
        <x:v>AZ</x:v>
      </x:c>
      <x:c r="D5" s="16" t="n">
        <x:v>33.401</x:v>
      </x:c>
      <x:c r="E5" s="16" t="n">
        <x:v>-110.872</x:v>
      </x:c>
      <x:c r="F5" s="17" t="str">
        <x:v>unknown</x:v>
      </x:c>
      <x:c r="G5" s="17" t="str">
        <x:v>copper</x:v>
      </x:c>
      <x:c r="H5" s="14" t="str">
        <x:v>Miami</x:v>
      </x:c>
      <x:c r="I5" s="14" t="str">
        <x:v>approximate mine centroid</x:v>
      </x:c>
      <x:c r="J5" s="14" t="str">
        <x:v>https://www.fcx.com/operations/north-america</x:v>
      </x:c>
      <x:c r="K5" s="14" t="str">
        <x:v>Official operator source confirms operation.</x:v>
      </x:c>
    </x:row>
    <x:row r="6">
      <x:c r="A6" s="14" t="str">
        <x:v>Tyrone Mine</x:v>
      </x:c>
      <x:c r="B6" s="14" t="str">
        <x:v>Freeport-McMoRan</x:v>
      </x:c>
      <x:c r="C6" s="14" t="str">
        <x:v>NM</x:v>
      </x:c>
      <x:c r="D6" s="16" t="n">
        <x:v>32.65</x:v>
      </x:c>
      <x:c r="E6" s="16" t="n">
        <x:v>-108.381</x:v>
      </x:c>
      <x:c r="F6" s="17" t="str">
        <x:v>unknown</x:v>
      </x:c>
      <x:c r="G6" s="17" t="str">
        <x:v>copper</x:v>
      </x:c>
      <x:c r="H6" s="14" t="str">
        <x:v>Silver City</x:v>
      </x:c>
      <x:c r="I6" s="14" t="str">
        <x:v>approximate mine centroid</x:v>
      </x:c>
      <x:c r="J6" s="14" t="str">
        <x:v>https://www.fcx.com/operations/north-america</x:v>
      </x:c>
      <x:c r="K6" s="14" t="str">
        <x:v>Distinct from the excluded Chino Mine.</x:v>
      </x:c>
    </x:row>
    <x:row r="7">
      <x:c r="A7" s="14" t="str">
        <x:v>Ray Mine</x:v>
      </x:c>
      <x:c r="B7" s="14" t="str">
        <x:v>ASARCO</x:v>
      </x:c>
      <x:c r="C7" s="14" t="str">
        <x:v>AZ</x:v>
      </x:c>
      <x:c r="D7" s="16" t="n">
        <x:v>33.183</x:v>
      </x:c>
      <x:c r="E7" s="16" t="n">
        <x:v>-110.989</x:v>
      </x:c>
      <x:c r="F7" s="17" t="str">
        <x:v>unknown</x:v>
      </x:c>
      <x:c r="G7" s="17" t="str">
        <x:v>copper</x:v>
      </x:c>
      <x:c r="H7" s="14" t="str">
        <x:v>Kearny</x:v>
      </x:c>
      <x:c r="I7" s="14" t="str">
        <x:v>approximate mine centroid</x:v>
      </x:c>
      <x:c r="J7" s="14" t="str">
        <x:v>https://www.asarco.com/mines/ray/</x:v>
      </x:c>
      <x:c r="K7" s="14" t="str">
        <x:v>Official operator page identifies the mine.</x:v>
      </x:c>
    </x:row>
    <x:row r="8">
      <x:c r="A8" s="14" t="str">
        <x:v>Pinto Valley Mine</x:v>
      </x:c>
      <x:c r="B8" s="14" t="str">
        <x:v>Capstone Copper</x:v>
      </x:c>
      <x:c r="C8" s="14" t="str">
        <x:v>AZ</x:v>
      </x:c>
      <x:c r="D8" s="16" t="n">
        <x:v>33.41</x:v>
      </x:c>
      <x:c r="E8" s="16" t="n">
        <x:v>-110.97</x:v>
      </x:c>
      <x:c r="F8" s="17" t="str">
        <x:v>unknown</x:v>
      </x:c>
      <x:c r="G8" s="17" t="str">
        <x:v>copper</x:v>
      </x:c>
      <x:c r="H8" s="14" t="str">
        <x:v>Miami</x:v>
      </x:c>
      <x:c r="I8" s="14" t="str">
        <x:v>approximate mine centroid</x:v>
      </x:c>
      <x:c r="J8" s="14" t="str">
        <x:v>https://capstonecopper.com/operations/pinto-valley/</x:v>
      </x:c>
      <x:c r="K8" s="14" t="str">
        <x:v>Official operator page identifies the mine.</x:v>
      </x:c>
    </x:row>
    <x:row r="9">
      <x:c r="A9" s="14" t="str">
        <x:v>Robinson Mine</x:v>
      </x:c>
      <x:c r="B9" s="14" t="str">
        <x:v>KGHM International</x:v>
      </x:c>
      <x:c r="C9" s="14" t="str">
        <x:v>NV</x:v>
      </x:c>
      <x:c r="D9" s="16" t="n">
        <x:v>39.244</x:v>
      </x:c>
      <x:c r="E9" s="16" t="n">
        <x:v>-114.742</x:v>
      </x:c>
      <x:c r="F9" s="17" t="str">
        <x:v>unknown</x:v>
      </x:c>
      <x:c r="G9" s="17" t="str">
        <x:v>copper</x:v>
      </x:c>
      <x:c r="H9" s="14" t="str">
        <x:v>Ely</x:v>
      </x:c>
      <x:c r="I9" s="14" t="str">
        <x:v>approximate mine centroid</x:v>
      </x:c>
      <x:c r="J9" s="14" t="str">
        <x:v>https://kghm.com/en/our-business/mining-and-enrichment/robinson</x:v>
      </x:c>
      <x:c r="K9" s="14" t="str">
        <x:v>Official operator page identifies the operation.</x:v>
      </x:c>
    </x:row>
    <x:row r="10">
      <x:c r="A10" s="14" t="str">
        <x:v>Cortez Complex</x:v>
      </x:c>
      <x:c r="B10" s="14" t="str">
        <x:v>Nevada Gold Mines</x:v>
      </x:c>
      <x:c r="C10" s="14" t="str">
        <x:v>NV</x:v>
      </x:c>
      <x:c r="D10" s="16" t="n">
        <x:v>40.22</x:v>
      </x:c>
      <x:c r="E10" s="16" t="n">
        <x:v>-116.69</x:v>
      </x:c>
      <x:c r="F10" s="17" t="str">
        <x:v>unknown</x:v>
      </x:c>
      <x:c r="G10" s="17" t="str">
        <x:v>gold</x:v>
      </x:c>
      <x:c r="H10" s="14" t="str">
        <x:v>Crescent Valley</x:v>
      </x:c>
      <x:c r="I10" s="14" t="str">
        <x:v>approximate complex centroid</x:v>
      </x:c>
      <x:c r="J10" s="14" t="str">
        <x:v>https://www.barrick.com/English/operations/nevada-gold-mines/default.aspx</x:v>
      </x:c>
      <x:c r="K10" s="14" t="str">
        <x:v>Named complex distinct from the excluded broad Carlin Trend entry.</x:v>
      </x:c>
    </x:row>
    <x:row r="11">
      <x:c r="A11" s="14" t="str">
        <x:v>Turquoise Ridge Complex</x:v>
      </x:c>
      <x:c r="B11" s="14" t="str">
        <x:v>Nevada Gold Mines</x:v>
      </x:c>
      <x:c r="C11" s="14" t="str">
        <x:v>NV</x:v>
      </x:c>
      <x:c r="D11" s="16" t="n">
        <x:v>41.2</x:v>
      </x:c>
      <x:c r="E11" s="16" t="n">
        <x:v>-117.22</x:v>
      </x:c>
      <x:c r="F11" s="17" t="str">
        <x:v>unknown</x:v>
      </x:c>
      <x:c r="G11" s="17" t="str">
        <x:v>gold</x:v>
      </x:c>
      <x:c r="H11" s="14" t="str">
        <x:v>Golconda</x:v>
      </x:c>
      <x:c r="I11" s="14" t="str">
        <x:v>approximate complex centroid</x:v>
      </x:c>
      <x:c r="J11" s="14" t="str">
        <x:v>https://www.barrick.com/English/operations/nevada-gold-mines/default.aspx</x:v>
      </x:c>
      <x:c r="K11" s="14" t="str">
        <x:v>Official operator page identifies the complex.</x:v>
      </x:c>
    </x:row>
    <x:row r="12">
      <x:c r="A12" s="14" t="str">
        <x:v>Phoenix Mine</x:v>
      </x:c>
      <x:c r="B12" s="14" t="str">
        <x:v>Nevada Gold Mines</x:v>
      </x:c>
      <x:c r="C12" s="14" t="str">
        <x:v>NV</x:v>
      </x:c>
      <x:c r="D12" s="16" t="n">
        <x:v>40.3</x:v>
      </x:c>
      <x:c r="E12" s="16" t="n">
        <x:v>-116.09</x:v>
      </x:c>
      <x:c r="F12" s="17" t="str">
        <x:v>unknown</x:v>
      </x:c>
      <x:c r="G12" s="17" t="str">
        <x:v>gold</x:v>
      </x:c>
      <x:c r="H12" s="14" t="str">
        <x:v>Battle Mountain</x:v>
      </x:c>
      <x:c r="I12" s="14" t="str">
        <x:v>approximate mine centroid</x:v>
      </x:c>
      <x:c r="J12" s="14" t="str">
        <x:v>https://www.barrick.com/English/operations/nevada-gold-mines/default.aspx</x:v>
      </x:c>
      <x:c r="K12" s="14" t="str">
        <x:v>Official operator page identifies the mine.</x:v>
      </x:c>
    </x:row>
    <x:row r="13">
      <x:c r="A13" s="14" t="str">
        <x:v>Round Mountain Mine</x:v>
      </x:c>
      <x:c r="B13" s="14" t="str">
        <x:v>Kinross Gold</x:v>
      </x:c>
      <x:c r="C13" s="14" t="str">
        <x:v>NV</x:v>
      </x:c>
      <x:c r="D13" s="16" t="n">
        <x:v>38.71</x:v>
      </x:c>
      <x:c r="E13" s="16" t="n">
        <x:v>-117.08</x:v>
      </x:c>
      <x:c r="F13" s="17" t="str">
        <x:v>unknown</x:v>
      </x:c>
      <x:c r="G13" s="17" t="str">
        <x:v>gold</x:v>
      </x:c>
      <x:c r="H13" s="14" t="str">
        <x:v>Round Mountain</x:v>
      </x:c>
      <x:c r="I13" s="14" t="str">
        <x:v>approximate mine centroid</x:v>
      </x:c>
      <x:c r="J13" s="14" t="str">
        <x:v>https://www.kinross.com/English/operations/default.aspx</x:v>
      </x:c>
      <x:c r="K13" s="14" t="str">
        <x:v>Official operator portfolio confirms the operation.</x:v>
      </x:c>
    </x:row>
    <x:row r="14">
      <x:c r="A14" s="14" t="str">
        <x:v>Bald Mountain Mine</x:v>
      </x:c>
      <x:c r="B14" s="14" t="str">
        <x:v>Kinross Gold</x:v>
      </x:c>
      <x:c r="C14" s="14" t="str">
        <x:v>NV</x:v>
      </x:c>
      <x:c r="D14" s="16" t="n">
        <x:v>39.94</x:v>
      </x:c>
      <x:c r="E14" s="16" t="n">
        <x:v>-115.57</x:v>
      </x:c>
      <x:c r="F14" s="17" t="str">
        <x:v>unknown</x:v>
      </x:c>
      <x:c r="G14" s="17" t="str">
        <x:v>gold</x:v>
      </x:c>
      <x:c r="H14" s="14" t="str">
        <x:v>Ely</x:v>
      </x:c>
      <x:c r="I14" s="14" t="str">
        <x:v>approximate mine centroid</x:v>
      </x:c>
      <x:c r="J14" s="14" t="str">
        <x:v>https://www.kinross.com/English/operations/americas/Bald-Mountain-Nevada-USA/default.aspx</x:v>
      </x:c>
      <x:c r="K14" s="14" t="str">
        <x:v>Official operator page confirms an open-pit mine.</x:v>
      </x:c>
    </x:row>
    <x:row r="15">
      <x:c r="A15" s="14" t="str">
        <x:v>Cripple Creek &amp; Victor Mine</x:v>
      </x:c>
      <x:c r="B15" s="14" t="str">
        <x:v>SSR Mining</x:v>
      </x:c>
      <x:c r="C15" s="14" t="str">
        <x:v>CO</x:v>
      </x:c>
      <x:c r="D15" s="16" t="n">
        <x:v>38.73</x:v>
      </x:c>
      <x:c r="E15" s="16" t="n">
        <x:v>-105.14</x:v>
      </x:c>
      <x:c r="F15" s="17" t="str">
        <x:v>unknown</x:v>
      </x:c>
      <x:c r="G15" s="17" t="str">
        <x:v>gold</x:v>
      </x:c>
      <x:c r="H15" s="14" t="str">
        <x:v>Victor</x:v>
      </x:c>
      <x:c r="I15" s="14" t="str">
        <x:v>approximate mine centroid</x:v>
      </x:c>
      <x:c r="J15" s="14" t="str">
        <x:v>https://www.ssrmining.com/operations/production/cripple-creek-victor/default.aspx</x:v>
      </x:c>
      <x:c r="K15" s="14" t="str">
        <x:v>Current operator page; ownership changed after Newmont's divestment.</x:v>
      </x:c>
    </x:row>
    <x:row r="16">
      <x:c r="A16" s="14" t="str">
        <x:v>Pogo Mine</x:v>
      </x:c>
      <x:c r="B16" s="14" t="str">
        <x:v>Northern Star Resources</x:v>
      </x:c>
      <x:c r="C16" s="14" t="str">
        <x:v>AK</x:v>
      </x:c>
      <x:c r="D16" s="16" t="n">
        <x:v>64.45</x:v>
      </x:c>
      <x:c r="E16" s="16" t="n">
        <x:v>-144.9</x:v>
      </x:c>
      <x:c r="F16" s="17" t="str">
        <x:v>unknown</x:v>
      </x:c>
      <x:c r="G16" s="17" t="str">
        <x:v>gold</x:v>
      </x:c>
      <x:c r="H16" s="14" t="str">
        <x:v>Delta Junction</x:v>
      </x:c>
      <x:c r="I16" s="14" t="str">
        <x:v>approximate mine centroid</x:v>
      </x:c>
      <x:c r="J16" s="14" t="str">
        <x:v>https://www.nsrltd.com/our-assets/pogo/</x:v>
      </x:c>
      <x:c r="K16" s="14" t="str">
        <x:v>Official operator page identifies the operation.</x:v>
      </x:c>
    </x:row>
    <x:row r="17">
      <x:c r="A17" s="14" t="str">
        <x:v>Kensington Mine</x:v>
      </x:c>
      <x:c r="B17" s="14" t="str">
        <x:v>Coeur Mining</x:v>
      </x:c>
      <x:c r="C17" s="14" t="str">
        <x:v>AK</x:v>
      </x:c>
      <x:c r="D17" s="16" t="n">
        <x:v>58.86</x:v>
      </x:c>
      <x:c r="E17" s="16" t="n">
        <x:v>-135.07</x:v>
      </x:c>
      <x:c r="F17" s="17" t="str">
        <x:v>unknown</x:v>
      </x:c>
      <x:c r="G17" s="17" t="str">
        <x:v>gold</x:v>
      </x:c>
      <x:c r="H17" s="14" t="str">
        <x:v>Juneau</x:v>
      </x:c>
      <x:c r="I17" s="14" t="str">
        <x:v>approximate mine centroid</x:v>
      </x:c>
      <x:c r="J17" s="14" t="str">
        <x:v>https://www.coeur.com/operations/mines/kensington-alaska/</x:v>
      </x:c>
      <x:c r="K17" s="14" t="str">
        <x:v>Official operator page identifies the mine.</x:v>
      </x:c>
    </x:row>
    <x:row r="18">
      <x:c r="A18" s="14" t="str">
        <x:v>Haile Gold Mine</x:v>
      </x:c>
      <x:c r="B18" s="14" t="str">
        <x:v>OceanaGold</x:v>
      </x:c>
      <x:c r="C18" s="14" t="str">
        <x:v>SC</x:v>
      </x:c>
      <x:c r="D18" s="16" t="n">
        <x:v>34.57</x:v>
      </x:c>
      <x:c r="E18" s="16" t="n">
        <x:v>-80.54</x:v>
      </x:c>
      <x:c r="F18" s="17" t="str">
        <x:v>unknown</x:v>
      </x:c>
      <x:c r="G18" s="17" t="str">
        <x:v>gold</x:v>
      </x:c>
      <x:c r="H18" s="14" t="str">
        <x:v>Kershaw</x:v>
      </x:c>
      <x:c r="I18" s="14" t="str">
        <x:v>approximate mine centroid</x:v>
      </x:c>
      <x:c r="J18" s="14" t="str">
        <x:v>https://oceanagold.com/operation/haile/</x:v>
      </x:c>
      <x:c r="K18" s="14" t="str">
        <x:v>Official operator page identifies the mine.</x:v>
      </x:c>
    </x:row>
    <x:row r="19">
      <x:c r="A19" s="14" t="str">
        <x:v>North Antelope Rochelle Mine</x:v>
      </x:c>
      <x:c r="B19" s="14" t="str">
        <x:v>Peabody Energy</x:v>
      </x:c>
      <x:c r="C19" s="14" t="str">
        <x:v>WY</x:v>
      </x:c>
      <x:c r="D19" s="16" t="n">
        <x:v>43.56</x:v>
      </x:c>
      <x:c r="E19" s="16" t="n">
        <x:v>-105.29</x:v>
      </x:c>
      <x:c r="F19" s="17" t="n">
        <x:v>1517</x:v>
      </x:c>
      <x:c r="G19" s="17" t="str">
        <x:v>coal</x:v>
      </x:c>
      <x:c r="H19" s="14" t="str">
        <x:v>Wright</x:v>
      </x:c>
      <x:c r="I19" s="14" t="str">
        <x:v>approximate mine centroid</x:v>
      </x:c>
      <x:c r="J19" s="14" t="str">
        <x:v>https://www.eia.gov/coal/data/public/xls/coalpublic2024.xlsx ; https://www.msha.gov/data-reports/fatality-reports/2014/fatality-7-june-4-2014/final-report</x:v>
      </x:c>
      <x:c r="K19" s="14" t="str">
        <x:v>Worker figure is a documented 2013-era mine headcount, not a current count.</x:v>
      </x:c>
    </x:row>
    <x:row r="20">
      <x:c r="A20" s="14" t="str">
        <x:v>Caballo Mine</x:v>
      </x:c>
      <x:c r="B20" s="14" t="str">
        <x:v>Peabody Energy</x:v>
      </x:c>
      <x:c r="C20" s="14" t="str">
        <x:v>WY</x:v>
      </x:c>
      <x:c r="D20" s="16" t="n">
        <x:v>43.7</x:v>
      </x:c>
      <x:c r="E20" s="16" t="n">
        <x:v>-105.24</x:v>
      </x:c>
      <x:c r="F20" s="17" t="str">
        <x:v>unknown</x:v>
      </x:c>
      <x:c r="G20" s="17" t="str">
        <x:v>coal</x:v>
      </x:c>
      <x:c r="H20" s="14" t="str">
        <x:v>Gillette</x:v>
      </x:c>
      <x:c r="I20" s="14" t="str">
        <x:v>approximate mine centroid</x:v>
      </x:c>
      <x:c r="J20" s="14" t="str">
        <x:v>https://www.eia.gov/coal/data/public/xls/coalpublic2024.xlsx</x:v>
      </x:c>
      <x:c r="K20" s="14" t="str">
        <x:v>Listed in EIA annual coal mine data; workforce left unknown.</x:v>
      </x:c>
    </x:row>
    <x:row r="21">
      <x:c r="A21" s="14" t="str">
        <x:v>Cordero Rojo Mine</x:v>
      </x:c>
      <x:c r="B21" s="14" t="str">
        <x:v>Navajo Transitional Energy Company</x:v>
      </x:c>
      <x:c r="C21" s="14" t="str">
        <x:v>WY</x:v>
      </x:c>
      <x:c r="D21" s="16" t="n">
        <x:v>44</x:v>
      </x:c>
      <x:c r="E21" s="16" t="n">
        <x:v>-105.32</x:v>
      </x:c>
      <x:c r="F21" s="17" t="str">
        <x:v>unknown</x:v>
      </x:c>
      <x:c r="G21" s="17" t="str">
        <x:v>coal</x:v>
      </x:c>
      <x:c r="H21" s="14" t="str">
        <x:v>Gillette</x:v>
      </x:c>
      <x:c r="I21" s="14" t="str">
        <x:v>approximate mine centroid</x:v>
      </x:c>
      <x:c r="J21" s="14" t="str">
        <x:v>https://www.eia.gov/coal/data/public/xls/coalpublic2024.xlsx</x:v>
      </x:c>
      <x:c r="K21" s="14" t="str">
        <x:v>Listed in EIA annual coal mine data; workforce left unknown.</x:v>
      </x:c>
    </x:row>
    <x:row r="22">
      <x:c r="A22" s="14" t="str">
        <x:v>Eagle Butte Mine</x:v>
      </x:c>
      <x:c r="B22" s="14" t="str">
        <x:v>Navajo Transitional Energy Company</x:v>
      </x:c>
      <x:c r="C22" s="14" t="str">
        <x:v>WY</x:v>
      </x:c>
      <x:c r="D22" s="16" t="n">
        <x:v>44.39</x:v>
      </x:c>
      <x:c r="E22" s="16" t="n">
        <x:v>-105.45</x:v>
      </x:c>
      <x:c r="F22" s="17" t="str">
        <x:v>unknown</x:v>
      </x:c>
      <x:c r="G22" s="17" t="str">
        <x:v>coal</x:v>
      </x:c>
      <x:c r="H22" s="14" t="str">
        <x:v>Gillette</x:v>
      </x:c>
      <x:c r="I22" s="14" t="str">
        <x:v>approximate mine centroid</x:v>
      </x:c>
      <x:c r="J22" s="14" t="str">
        <x:v>https://www.eia.gov/coal/data/public/xls/coalpublic2024.xlsx</x:v>
      </x:c>
      <x:c r="K22" s="14" t="str">
        <x:v>Listed in EIA annual coal mine data; workforce left unknown.</x:v>
      </x:c>
    </x:row>
    <x:row r="23">
      <x:c r="A23" s="14" t="str">
        <x:v>Dry Fork Mine</x:v>
      </x:c>
      <x:c r="B23" s="14" t="str">
        <x:v>Western Fuels-Wyoming</x:v>
      </x:c>
      <x:c r="C23" s="14" t="str">
        <x:v>WY</x:v>
      </x:c>
      <x:c r="D23" s="16" t="n">
        <x:v>44.47</x:v>
      </x:c>
      <x:c r="E23" s="16" t="n">
        <x:v>-105.47</x:v>
      </x:c>
      <x:c r="F23" s="17" t="str">
        <x:v>unknown</x:v>
      </x:c>
      <x:c r="G23" s="17" t="str">
        <x:v>coal</x:v>
      </x:c>
      <x:c r="H23" s="14" t="str">
        <x:v>Gillette</x:v>
      </x:c>
      <x:c r="I23" s="14" t="str">
        <x:v>approximate mine centroid</x:v>
      </x:c>
      <x:c r="J23" s="14" t="str">
        <x:v>https://www.eia.gov/coal/data/public/xls/coalpublic2024.xlsx</x:v>
      </x:c>
      <x:c r="K23" s="14" t="str">
        <x:v>Listed in EIA annual coal mine data.</x:v>
      </x:c>
    </x:row>
    <x:row r="24">
      <x:c r="A24" s="14" t="str">
        <x:v>Spring Creek Mine</x:v>
      </x:c>
      <x:c r="B24" s="14" t="str">
        <x:v>Navajo Transitional Energy Company</x:v>
      </x:c>
      <x:c r="C24" s="14" t="str">
        <x:v>MT</x:v>
      </x:c>
      <x:c r="D24" s="16" t="n">
        <x:v>45.1</x:v>
      </x:c>
      <x:c r="E24" s="16" t="n">
        <x:v>-106.87</x:v>
      </x:c>
      <x:c r="F24" s="17" t="str">
        <x:v>unknown</x:v>
      </x:c>
      <x:c r="G24" s="17" t="str">
        <x:v>coal</x:v>
      </x:c>
      <x:c r="H24" s="14" t="str">
        <x:v>Decker</x:v>
      </x:c>
      <x:c r="I24" s="14" t="str">
        <x:v>approximate mine centroid</x:v>
      </x:c>
      <x:c r="J24" s="14" t="str">
        <x:v>https://www.eia.gov/coal/data/public/xls/coalpublic2024.xlsx</x:v>
      </x:c>
      <x:c r="K24" s="14" t="str">
        <x:v>Listed in EIA annual coal mine data.</x:v>
      </x:c>
    </x:row>
    <x:row r="25">
      <x:c r="A25" s="14" t="str">
        <x:v>Rosebud Mine</x:v>
      </x:c>
      <x:c r="B25" s="14" t="str">
        <x:v>Westmoreland Mining</x:v>
      </x:c>
      <x:c r="C25" s="14" t="str">
        <x:v>MT</x:v>
      </x:c>
      <x:c r="D25" s="16" t="n">
        <x:v>45.87</x:v>
      </x:c>
      <x:c r="E25" s="16" t="n">
        <x:v>-106.61</x:v>
      </x:c>
      <x:c r="F25" s="17" t="str">
        <x:v>unknown</x:v>
      </x:c>
      <x:c r="G25" s="17" t="str">
        <x:v>coal</x:v>
      </x:c>
      <x:c r="H25" s="14" t="str">
        <x:v>Colstrip</x:v>
      </x:c>
      <x:c r="I25" s="14" t="str">
        <x:v>approximate mine centroid</x:v>
      </x:c>
      <x:c r="J25" s="14" t="str">
        <x:v>https://www.eia.gov/coal/data/public/xls/coalpublic2024.xlsx</x:v>
      </x:c>
      <x:c r="K25" s="14" t="str">
        <x:v>Listed in EIA annual coal mine data.</x:v>
      </x:c>
    </x:row>
    <x:row r="26">
      <x:c r="A26" s="14" t="str">
        <x:v>Navajo Mine</x:v>
      </x:c>
      <x:c r="B26" s="14" t="str">
        <x:v>Navajo Transitional Energy Company</x:v>
      </x:c>
      <x:c r="C26" s="14" t="str">
        <x:v>NM</x:v>
      </x:c>
      <x:c r="D26" s="16" t="n">
        <x:v>36.78</x:v>
      </x:c>
      <x:c r="E26" s="16" t="n">
        <x:v>-108.48</x:v>
      </x:c>
      <x:c r="F26" s="17" t="str">
        <x:v>unknown</x:v>
      </x:c>
      <x:c r="G26" s="17" t="str">
        <x:v>coal</x:v>
      </x:c>
      <x:c r="H26" s="14" t="str">
        <x:v>Fruitland</x:v>
      </x:c>
      <x:c r="I26" s="14" t="str">
        <x:v>approximate mine centroid</x:v>
      </x:c>
      <x:c r="J26" s="14" t="str">
        <x:v>https://www.eia.gov/coal/data/public/xls/coalpublic2024.xlsx</x:v>
      </x:c>
      <x:c r="K26" s="14" t="str">
        <x:v>Listed in EIA annual coal mine data.</x:v>
      </x:c>
    </x:row>
    <x:row r="27">
      <x:c r="A27" s="14" t="str">
        <x:v>Freedom Mine</x:v>
      </x:c>
      <x:c r="B27" s="14" t="str">
        <x:v>The Coteau Properties Company</x:v>
      </x:c>
      <x:c r="C27" s="14" t="str">
        <x:v>ND</x:v>
      </x:c>
      <x:c r="D27" s="16" t="n">
        <x:v>47.36</x:v>
      </x:c>
      <x:c r="E27" s="16" t="n">
        <x:v>-101.82</x:v>
      </x:c>
      <x:c r="F27" s="17" t="str">
        <x:v>unknown</x:v>
      </x:c>
      <x:c r="G27" s="17" t="str">
        <x:v>coal</x:v>
      </x:c>
      <x:c r="H27" s="14" t="str">
        <x:v>Beulah</x:v>
      </x:c>
      <x:c r="I27" s="14" t="str">
        <x:v>approximate mine centroid</x:v>
      </x:c>
      <x:c r="J27" s="14" t="str">
        <x:v>https://www.eia.gov/coal/data/public/xls/coalpublic2024.xlsx</x:v>
      </x:c>
      <x:c r="K27" s="14" t="str">
        <x:v>Listed in EIA annual coal mine data.</x:v>
      </x:c>
    </x:row>
    <x:row r="28">
      <x:c r="A28" s="14" t="str">
        <x:v>Minntac</x:v>
      </x:c>
      <x:c r="B28" s="14" t="str">
        <x:v>U.S. Steel</x:v>
      </x:c>
      <x:c r="C28" s="14" t="str">
        <x:v>MN</x:v>
      </x:c>
      <x:c r="D28" s="16" t="n">
        <x:v>47.58</x:v>
      </x:c>
      <x:c r="E28" s="16" t="n">
        <x:v>-92.61</x:v>
      </x:c>
      <x:c r="F28" s="17" t="str">
        <x:v>unknown</x:v>
      </x:c>
      <x:c r="G28" s="17" t="str">
        <x:v>iron_ore</x:v>
      </x:c>
      <x:c r="H28" s="14" t="str">
        <x:v>Mountain Iron</x:v>
      </x:c>
      <x:c r="I28" s="14" t="str">
        <x:v>approximate facility centroid</x:v>
      </x:c>
      <x:c r="J28" s="14" t="str">
        <x:v>https://www.ussteel.com/customers/solutions/mining</x:v>
      </x:c>
      <x:c r="K28" s="14" t="str">
        <x:v>Site-specific count unavailable; operator publishes only combined Minnesota Ore employment.</x:v>
      </x:c>
    </x:row>
    <x:row r="29">
      <x:c r="A29" s="14" t="str">
        <x:v>Keetac</x:v>
      </x:c>
      <x:c r="B29" s="14" t="str">
        <x:v>U.S. Steel</x:v>
      </x:c>
      <x:c r="C29" s="14" t="str">
        <x:v>MN</x:v>
      </x:c>
      <x:c r="D29" s="16" t="n">
        <x:v>47.41</x:v>
      </x:c>
      <x:c r="E29" s="16" t="n">
        <x:v>-93.07</x:v>
      </x:c>
      <x:c r="F29" s="17" t="str">
        <x:v>unknown</x:v>
      </x:c>
      <x:c r="G29" s="17" t="str">
        <x:v>iron_ore</x:v>
      </x:c>
      <x:c r="H29" s="14" t="str">
        <x:v>Keewatin</x:v>
      </x:c>
      <x:c r="I29" s="14" t="str">
        <x:v>approximate facility centroid</x:v>
      </x:c>
      <x:c r="J29" s="14" t="str">
        <x:v>https://www.ussteel.com/customers/solutions/mining</x:v>
      </x:c>
      <x:c r="K29" s="14" t="str">
        <x:v>Individual facility within, but not equivalent to, excluded broad Mesabi Iron Range.</x:v>
      </x:c>
    </x:row>
    <x:row r="30">
      <x:c r="A30" s="14" t="str">
        <x:v>Hibbing Taconite</x:v>
      </x:c>
      <x:c r="B30" s="14" t="str">
        <x:v>Cleveland-Cliffs / JV</x:v>
      </x:c>
      <x:c r="C30" s="14" t="str">
        <x:v>MN</x:v>
      </x:c>
      <x:c r="D30" s="16" t="n">
        <x:v>47.5</x:v>
      </x:c>
      <x:c r="E30" s="16" t="n">
        <x:v>-93.03</x:v>
      </x:c>
      <x:c r="F30" s="17" t="str">
        <x:v>unknown</x:v>
      </x:c>
      <x:c r="G30" s="17" t="str">
        <x:v>iron_ore</x:v>
      </x:c>
      <x:c r="H30" s="14" t="str">
        <x:v>Hibbing</x:v>
      </x:c>
      <x:c r="I30" s="14" t="str">
        <x:v>approximate facility centroid</x:v>
      </x:c>
      <x:c r="J30" s="14" t="str">
        <x:v>https://www.clevelandcliffs.com/operations/steelmaking/iron-ore-facilities</x:v>
      </x:c>
      <x:c r="K30" s="14" t="str">
        <x:v>Official operator facilities page.</x:v>
      </x:c>
    </x:row>
    <x:row r="31">
      <x:c r="A31" s="14" t="str">
        <x:v>United Taconite</x:v>
      </x:c>
      <x:c r="B31" s="14" t="str">
        <x:v>Cleveland-Cliffs</x:v>
      </x:c>
      <x:c r="C31" s="14" t="str">
        <x:v>MN</x:v>
      </x:c>
      <x:c r="D31" s="16" t="n">
        <x:v>47.49</x:v>
      </x:c>
      <x:c r="E31" s="16" t="n">
        <x:v>-92.24</x:v>
      </x:c>
      <x:c r="F31" s="17" t="str">
        <x:v>unknown</x:v>
      </x:c>
      <x:c r="G31" s="17" t="str">
        <x:v>iron_ore</x:v>
      </x:c>
      <x:c r="H31" s="14" t="str">
        <x:v>Eveleth</x:v>
      </x:c>
      <x:c r="I31" s="14" t="str">
        <x:v>approximate facility centroid</x:v>
      </x:c>
      <x:c r="J31" s="14" t="str">
        <x:v>https://www.clevelandcliffs.com/operations/steelmaking/iron-ore-facilities</x:v>
      </x:c>
      <x:c r="K31" s="14" t="str">
        <x:v>Official operator facilities page.</x:v>
      </x:c>
    </x:row>
    <x:row r="32">
      <x:c r="A32" s="14" t="str">
        <x:v>Northshore Mining</x:v>
      </x:c>
      <x:c r="B32" s="14" t="str">
        <x:v>Cleveland-Cliffs</x:v>
      </x:c>
      <x:c r="C32" s="14" t="str">
        <x:v>MN</x:v>
      </x:c>
      <x:c r="D32" s="16" t="n">
        <x:v>47.29</x:v>
      </x:c>
      <x:c r="E32" s="16" t="n">
        <x:v>-91.27</x:v>
      </x:c>
      <x:c r="F32" s="17" t="str">
        <x:v>unknown</x:v>
      </x:c>
      <x:c r="G32" s="17" t="str">
        <x:v>iron_ore</x:v>
      </x:c>
      <x:c r="H32" s="14" t="str">
        <x:v>Silver Bay</x:v>
      </x:c>
      <x:c r="I32" s="14" t="str">
        <x:v>approximate facility centroid</x:v>
      </x:c>
      <x:c r="J32" s="14" t="str">
        <x:v>https://www.clevelandcliffs.com/operations/steelmaking/iron-ore-facilities</x:v>
      </x:c>
      <x:c r="K32" s="14" t="str">
        <x:v>Official operator facilities page.</x:v>
      </x:c>
    </x:row>
    <x:row r="33">
      <x:c r="A33" s="14" t="str">
        <x:v>Tilden Mine</x:v>
      </x:c>
      <x:c r="B33" s="14" t="str">
        <x:v>Cleveland-Cliffs</x:v>
      </x:c>
      <x:c r="C33" s="14" t="str">
        <x:v>MI</x:v>
      </x:c>
      <x:c r="D33" s="16" t="n">
        <x:v>46.43</x:v>
      </x:c>
      <x:c r="E33" s="16" t="n">
        <x:v>-87.69</x:v>
      </x:c>
      <x:c r="F33" s="17" t="n">
        <x:v>900</x:v>
      </x:c>
      <x:c r="G33" s="17" t="str">
        <x:v>iron_ore</x:v>
      </x:c>
      <x:c r="H33" s="14" t="str">
        <x:v>Ishpeming</x:v>
      </x:c>
      <x:c r="I33" s="14" t="str">
        <x:v>approximate mine centroid</x:v>
      </x:c>
      <x:c r="J33" s="14" t="str">
        <x:v>https://www.clevelandcliffs.com/news/news-releases/detail/107/cleveland-cliffs-inc-announces-acquisition-of-remaining</x:v>
      </x:c>
      <x:c r="K33" s="14" t="str">
        <x:v>Official 2017 release states approximately 900 employees; not a current-year headcount.</x:v>
      </x:c>
    </x:row>
    <x:row r="34">
      <x:c r="A34" s="14" t="str">
        <x:v>Ste. Genevieve Cement Plant and Quarry</x:v>
      </x:c>
      <x:c r="B34" s="14" t="str">
        <x:v>Holcim US</x:v>
      </x:c>
      <x:c r="C34" s="14" t="str">
        <x:v>MO</x:v>
      </x:c>
      <x:c r="D34" s="16" t="n">
        <x:v>37.88</x:v>
      </x:c>
      <x:c r="E34" s="16" t="n">
        <x:v>-89.85</x:v>
      </x:c>
      <x:c r="F34" s="17" t="str">
        <x:v>unknown</x:v>
      </x:c>
      <x:c r="G34" s="17" t="str">
        <x:v>cement</x:v>
      </x:c>
      <x:c r="H34" s="14" t="str">
        <x:v>Ste. Genevieve</x:v>
      </x:c>
      <x:c r="I34" s="14" t="str">
        <x:v>approximate facility centroid</x:v>
      </x:c>
      <x:c r="J34" s="14" t="str">
        <x:v>https://www.holcim.us/ste-genevieve-cement-plant</x:v>
      </x:c>
      <x:c r="K34" s="14" t="str">
        <x:v>Official facility page.</x:v>
      </x:c>
    </x:row>
    <x:row r="35">
      <x:c r="A35" s="14" t="str">
        <x:v>Alpena Cement Plant and Quarry</x:v>
      </x:c>
      <x:c r="B35" s="14" t="str">
        <x:v>Holcim US</x:v>
      </x:c>
      <x:c r="C35" s="14" t="str">
        <x:v>MI</x:v>
      </x:c>
      <x:c r="D35" s="16" t="n">
        <x:v>45.06</x:v>
      </x:c>
      <x:c r="E35" s="16" t="n">
        <x:v>-83.43</x:v>
      </x:c>
      <x:c r="F35" s="17" t="str">
        <x:v>unknown</x:v>
      </x:c>
      <x:c r="G35" s="17" t="str">
        <x:v>cement</x:v>
      </x:c>
      <x:c r="H35" s="14" t="str">
        <x:v>Alpena</x:v>
      </x:c>
      <x:c r="I35" s="14" t="str">
        <x:v>approximate facility centroid</x:v>
      </x:c>
      <x:c r="J35" s="14" t="str">
        <x:v>https://www.holcim.us/alpena-cement-plant</x:v>
      </x:c>
      <x:c r="K35" s="14" t="str">
        <x:v>Official facility page.</x:v>
      </x:c>
    </x:row>
    <x:row r="36">
      <x:c r="A36" s="14" t="str">
        <x:v>Balcones Cement Plant</x:v>
      </x:c>
      <x:c r="B36" s="14" t="str">
        <x:v>Heidelberg Materials North America</x:v>
      </x:c>
      <x:c r="C36" s="14" t="str">
        <x:v>TX</x:v>
      </x:c>
      <x:c r="D36" s="16" t="n">
        <x:v>29.75</x:v>
      </x:c>
      <x:c r="E36" s="16" t="n">
        <x:v>-98.15</x:v>
      </x:c>
      <x:c r="F36" s="17" t="str">
        <x:v>unknown</x:v>
      </x:c>
      <x:c r="G36" s="17" t="str">
        <x:v>cement</x:v>
      </x:c>
      <x:c r="H36" s="14" t="str">
        <x:v>New Braunfels</x:v>
      </x:c>
      <x:c r="I36" s="14" t="str">
        <x:v>approximate facility centroid</x:v>
      </x:c>
      <x:c r="J36" s="14" t="str">
        <x:v>https://www.heidelbergmaterials.us/en/cement</x:v>
      </x:c>
      <x:c r="K36" s="14" t="str">
        <x:v>Operator's U.S. cement operations source.</x:v>
      </x:c>
    </x:row>
    <x:row r="37">
      <x:c r="A37" s="14" t="str">
        <x:v>Midlothian Cement Plant</x:v>
      </x:c>
      <x:c r="B37" s="14" t="str">
        <x:v>Holcim US</x:v>
      </x:c>
      <x:c r="C37" s="14" t="str">
        <x:v>TX</x:v>
      </x:c>
      <x:c r="D37" s="16" t="n">
        <x:v>32.46</x:v>
      </x:c>
      <x:c r="E37" s="16" t="n">
        <x:v>-96.99</x:v>
      </x:c>
      <x:c r="F37" s="17" t="str">
        <x:v>unknown</x:v>
      </x:c>
      <x:c r="G37" s="17" t="str">
        <x:v>cement</x:v>
      </x:c>
      <x:c r="H37" s="14" t="str">
        <x:v>Midlothian</x:v>
      </x:c>
      <x:c r="I37" s="14" t="str">
        <x:v>approximate facility centroid</x:v>
      </x:c>
      <x:c r="J37" s="14" t="str">
        <x:v>https://www.holcim.us/midlothian-cement-plant</x:v>
      </x:c>
      <x:c r="K37" s="14" t="str">
        <x:v>Official facility page.</x:v>
      </x:c>
    </x:row>
    <x:row r="38">
      <x:c r="A38" s="14" t="str">
        <x:v>Thornton Quarry</x:v>
      </x:c>
      <x:c r="B38" s="14" t="str">
        <x:v>Heidelberg Materials North America</x:v>
      </x:c>
      <x:c r="C38" s="14" t="str">
        <x:v>IL</x:v>
      </x:c>
      <x:c r="D38" s="16" t="n">
        <x:v>41.57</x:v>
      </x:c>
      <x:c r="E38" s="16" t="n">
        <x:v>-87.6</x:v>
      </x:c>
      <x:c r="F38" s="17" t="str">
        <x:v>unknown</x:v>
      </x:c>
      <x:c r="G38" s="17" t="str">
        <x:v>crushed_stone</x:v>
      </x:c>
      <x:c r="H38" s="14" t="str">
        <x:v>Thornton</x:v>
      </x:c>
      <x:c r="I38" s="14" t="str">
        <x:v>approximate quarry centroid</x:v>
      </x:c>
      <x:c r="J38" s="14" t="str">
        <x:v>https://www.heidelbergmaterials.us/en/aggregates</x:v>
      </x:c>
      <x:c r="K38" s="14" t="str">
        <x:v>Operator aggregate operations source; worker count not published.</x:v>
      </x:c>
    </x:row>
    <x:row r="39">
      <x:c r="A39" s="14" t="str">
        <x:v>McCook Quarry</x:v>
      </x:c>
      <x:c r="B39" s="14" t="str">
        <x:v>Vulcan Materials</x:v>
      </x:c>
      <x:c r="C39" s="14" t="str">
        <x:v>IL</x:v>
      </x:c>
      <x:c r="D39" s="16" t="n">
        <x:v>41.8</x:v>
      </x:c>
      <x:c r="E39" s="16" t="n">
        <x:v>-87.84</x:v>
      </x:c>
      <x:c r="F39" s="17" t="str">
        <x:v>unknown</x:v>
      </x:c>
      <x:c r="G39" s="17" t="str">
        <x:v>crushed_stone</x:v>
      </x:c>
      <x:c r="H39" s="14" t="str">
        <x:v>McCook</x:v>
      </x:c>
      <x:c r="I39" s="14" t="str">
        <x:v>approximate quarry centroid</x:v>
      </x:c>
      <x:c r="J39" s="14" t="str">
        <x:v>https://www.vulcanmaterials.com/construction-materials/facilities</x:v>
      </x:c>
      <x:c r="K39" s="14" t="str">
        <x:v>Operator facility network source.</x:v>
      </x:c>
    </x:row>
    <x:row r="40">
      <x:c r="A40" s="14" t="str">
        <x:v>Beckmann Quarry</x:v>
      </x:c>
      <x:c r="B40" s="14" t="str">
        <x:v>Martin Marietta</x:v>
      </x:c>
      <x:c r="C40" s="14" t="str">
        <x:v>TX</x:v>
      </x:c>
      <x:c r="D40" s="16" t="n">
        <x:v>29.62</x:v>
      </x:c>
      <x:c r="E40" s="16" t="n">
        <x:v>-98.6</x:v>
      </x:c>
      <x:c r="F40" s="17" t="str">
        <x:v>unknown</x:v>
      </x:c>
      <x:c r="G40" s="17" t="str">
        <x:v>crushed_stone</x:v>
      </x:c>
      <x:c r="H40" s="14" t="str">
        <x:v>San Antonio</x:v>
      </x:c>
      <x:c r="I40" s="14" t="str">
        <x:v>approximate quarry centroid</x:v>
      </x:c>
      <x:c r="J40" s="14" t="str">
        <x:v>https://www.martinmarietta.com/locations/southwest/san-antonio-district/beckmann-quarry</x:v>
      </x:c>
      <x:c r="K40" s="14" t="str">
        <x:v>Official location page.</x:v>
      </x:c>
    </x:row>
    <x:row r="41">
      <x:c r="A41" s="14" t="str">
        <x:v>Stringtown Quarry</x:v>
      </x:c>
      <x:c r="B41" s="14" t="str">
        <x:v>Martin Marietta</x:v>
      </x:c>
      <x:c r="C41" s="14" t="str">
        <x:v>OK</x:v>
      </x:c>
      <x:c r="D41" s="16" t="n">
        <x:v>34.47</x:v>
      </x:c>
      <x:c r="E41" s="16" t="n">
        <x:v>-96.06</x:v>
      </x:c>
      <x:c r="F41" s="17" t="str">
        <x:v>unknown</x:v>
      </x:c>
      <x:c r="G41" s="17" t="str">
        <x:v>crushed_stone</x:v>
      </x:c>
      <x:c r="H41" s="14" t="str">
        <x:v>Stringtown</x:v>
      </x:c>
      <x:c r="I41" s="14" t="str">
        <x:v>approximate quarry centroid</x:v>
      </x:c>
      <x:c r="J41" s="14" t="str">
        <x:v>https://www.martinmarietta.com/locations</x:v>
      </x:c>
      <x:c r="K41" s="14" t="str">
        <x:v>Official operator location network.</x:v>
      </x:c>
    </x:row>
    <x:row r="42">
      <x:c r="A42" s="14" t="str">
        <x:v>DuPont Aggregate Mine</x:v>
      </x:c>
      <x:c r="B42" s="14" t="str">
        <x:v>CalPortland</x:v>
      </x:c>
      <x:c r="C42" s="14" t="str">
        <x:v>WA</x:v>
      </x:c>
      <x:c r="D42" s="16" t="n">
        <x:v>47.1</x:v>
      </x:c>
      <x:c r="E42" s="16" t="n">
        <x:v>-122.64</x:v>
      </x:c>
      <x:c r="F42" s="17" t="str">
        <x:v>unknown</x:v>
      </x:c>
      <x:c r="G42" s="17" t="str">
        <x:v>sand_gravel</x:v>
      </x:c>
      <x:c r="H42" s="14" t="str">
        <x:v>DuPont</x:v>
      </x:c>
      <x:c r="I42" s="14" t="str">
        <x:v>approximate mine centroid</x:v>
      </x:c>
      <x:c r="J42" s="14" t="str">
        <x:v>https://www.calportland.com/locations/</x:v>
      </x:c>
      <x:c r="K42" s="14" t="str">
        <x:v>Official operator location network.</x:v>
      </x:c>
    </x:row>
    <x:row r="43">
      <x:c r="A43" s="14" t="str">
        <x:v>Glacier Northwest Steilacoom Mine</x:v>
      </x:c>
      <x:c r="B43" s="14" t="str">
        <x:v>CalPortland</x:v>
      </x:c>
      <x:c r="C43" s="14" t="str">
        <x:v>WA</x:v>
      </x:c>
      <x:c r="D43" s="16" t="n">
        <x:v>47.17</x:v>
      </x:c>
      <x:c r="E43" s="16" t="n">
        <x:v>-122.59</x:v>
      </x:c>
      <x:c r="F43" s="17" t="str">
        <x:v>unknown</x:v>
      </x:c>
      <x:c r="G43" s="17" t="str">
        <x:v>sand_gravel</x:v>
      </x:c>
      <x:c r="H43" s="14" t="str">
        <x:v>Steilacoom</x:v>
      </x:c>
      <x:c r="I43" s="14" t="str">
        <x:v>approximate mine centroid</x:v>
      </x:c>
      <x:c r="J43" s="14" t="str">
        <x:v>https://www.calportland.com/locations/</x:v>
      </x:c>
      <x:c r="K43" s="14" t="str">
        <x:v>Official operator location network.</x:v>
      </x:c>
    </x:row>
    <x:row r="44">
      <x:c r="A44" s="14" t="str">
        <x:v>Kuparuk River Oil Field</x:v>
      </x:c>
      <x:c r="B44" s="14" t="str">
        <x:v>ConocoPhillips Alaska</x:v>
      </x:c>
      <x:c r="C44" s="14" t="str">
        <x:v>AK</x:v>
      </x:c>
      <x:c r="D44" s="16" t="n">
        <x:v>70.33</x:v>
      </x:c>
      <x:c r="E44" s="16" t="n">
        <x:v>-149.75</x:v>
      </x:c>
      <x:c r="F44" s="17" t="str">
        <x:v>unknown</x:v>
      </x:c>
      <x:c r="G44" s="17" t="str">
        <x:v>oil</x:v>
      </x:c>
      <x:c r="H44" s="14" t="str">
        <x:v>North Slope</x:v>
      </x:c>
      <x:c r="I44" s="14" t="str">
        <x:v>approximate field centroid</x:v>
      </x:c>
      <x:c r="J44" s="14" t="str">
        <x:v>https://www.conocophillips.com/operations/alaska/</x:v>
      </x:c>
      <x:c r="K44" s="14" t="str">
        <x:v>Official operator Alaska operations source.</x:v>
      </x:c>
    </x:row>
    <x:row r="45">
      <x:c r="A45" s="14" t="str">
        <x:v>Alpine Oil Field</x:v>
      </x:c>
      <x:c r="B45" s="14" t="str">
        <x:v>ConocoPhillips Alaska</x:v>
      </x:c>
      <x:c r="C45" s="14" t="str">
        <x:v>AK</x:v>
      </x:c>
      <x:c r="D45" s="16" t="n">
        <x:v>70.24</x:v>
      </x:c>
      <x:c r="E45" s="16" t="n">
        <x:v>-150.99</x:v>
      </x:c>
      <x:c r="F45" s="17" t="str">
        <x:v>unknown</x:v>
      </x:c>
      <x:c r="G45" s="17" t="str">
        <x:v>oil</x:v>
      </x:c>
      <x:c r="H45" s="14" t="str">
        <x:v>Nuiqsut</x:v>
      </x:c>
      <x:c r="I45" s="14" t="str">
        <x:v>approximate field centroid</x:v>
      </x:c>
      <x:c r="J45" s="14" t="str">
        <x:v>https://www.conocophillips.com/operations/alaska/</x:v>
      </x:c>
      <x:c r="K45" s="14" t="str">
        <x:v>Named field distinct from excluded Prudhoe Bay.</x:v>
      </x:c>
    </x:row>
    <x:row r="46">
      <x:c r="A46" s="14" t="str">
        <x:v>Kern River Oil Field</x:v>
      </x:c>
      <x:c r="B46" s="14" t="str">
        <x:v>California Resources Corporation</x:v>
      </x:c>
      <x:c r="C46" s="14" t="str">
        <x:v>CA</x:v>
      </x:c>
      <x:c r="D46" s="16" t="n">
        <x:v>35.43</x:v>
      </x:c>
      <x:c r="E46" s="16" t="n">
        <x:v>-118.99</x:v>
      </x:c>
      <x:c r="F46" s="17" t="str">
        <x:v>unknown</x:v>
      </x:c>
      <x:c r="G46" s="17" t="str">
        <x:v>oil</x:v>
      </x:c>
      <x:c r="H46" s="14" t="str">
        <x:v>Bakersfield</x:v>
      </x:c>
      <x:c r="I46" s="14" t="str">
        <x:v>approximate field centroid</x:v>
      </x:c>
      <x:c r="J46" s="14" t="str">
        <x:v>https://www.conservation.ca.gov/calgem/Pages/WellSTAR.aspx</x:v>
      </x:c>
      <x:c r="K46" s="14" t="str">
        <x:v>California state oil-and-gas well data portal supports field verification.</x:v>
      </x:c>
    </x:row>
    <x:row r="47">
      <x:c r="A47" s="14" t="str">
        <x:v>Midway-Sunset Oil Field</x:v>
      </x:c>
      <x:c r="B47" s="14" t="str">
        <x:v>Multiple operators</x:v>
      </x:c>
      <x:c r="C47" s="14" t="str">
        <x:v>CA</x:v>
      </x:c>
      <x:c r="D47" s="16" t="n">
        <x:v>35.2</x:v>
      </x:c>
      <x:c r="E47" s="16" t="n">
        <x:v>-119.6</x:v>
      </x:c>
      <x:c r="F47" s="17" t="str">
        <x:v>unknown</x:v>
      </x:c>
      <x:c r="G47" s="17" t="str">
        <x:v>oil</x:v>
      </x:c>
      <x:c r="H47" s="14" t="str">
        <x:v>Taft</x:v>
      </x:c>
      <x:c r="I47" s="14" t="str">
        <x:v>approximate field centroid</x:v>
      </x:c>
      <x:c r="J47" s="14" t="str">
        <x:v>https://www.conservation.ca.gov/calgem/Pages/WellSTAR.aspx</x:v>
      </x:c>
      <x:c r="K47" s="14" t="str">
        <x:v>Large field; coordinate is a representative centroid, not a wellhead.</x:v>
      </x:c>
    </x:row>
    <x:row r="48">
      <x:c r="A48" s="14" t="str">
        <x:v>Wilmington Oil Field</x:v>
      </x:c>
      <x:c r="B48" s="14" t="str">
        <x:v>Multiple operators</x:v>
      </x:c>
      <x:c r="C48" s="14" t="str">
        <x:v>CA</x:v>
      </x:c>
      <x:c r="D48" s="16" t="n">
        <x:v>33.78</x:v>
      </x:c>
      <x:c r="E48" s="16" t="n">
        <x:v>-118.24</x:v>
      </x:c>
      <x:c r="F48" s="17" t="str">
        <x:v>unknown</x:v>
      </x:c>
      <x:c r="G48" s="17" t="str">
        <x:v>oil</x:v>
      </x:c>
      <x:c r="H48" s="14" t="str">
        <x:v>Long Beach</x:v>
      </x:c>
      <x:c r="I48" s="14" t="str">
        <x:v>approximate field centroid</x:v>
      </x:c>
      <x:c r="J48" s="14" t="str">
        <x:v>https://www.conservation.ca.gov/calgem/Pages/WellSTAR.aspx</x:v>
      </x:c>
      <x:c r="K48" s="14" t="str">
        <x:v>Large field; coordinate is a representative centroid.</x:v>
      </x:c>
    </x:row>
    <x:row r="49">
      <x:c r="A49" s="14" t="str">
        <x:v>South Belridge Oil Field</x:v>
      </x:c>
      <x:c r="B49" s="14" t="str">
        <x:v>Aera Energy and others</x:v>
      </x:c>
      <x:c r="C49" s="14" t="str">
        <x:v>CA</x:v>
      </x:c>
      <x:c r="D49" s="16" t="n">
        <x:v>35.47</x:v>
      </x:c>
      <x:c r="E49" s="16" t="n">
        <x:v>-119.73</x:v>
      </x:c>
      <x:c r="F49" s="17" t="str">
        <x:v>unknown</x:v>
      </x:c>
      <x:c r="G49" s="17" t="str">
        <x:v>oil</x:v>
      </x:c>
      <x:c r="H49" s="14" t="str">
        <x:v>Lost Hills</x:v>
      </x:c>
      <x:c r="I49" s="14" t="str">
        <x:v>approximate field centroid</x:v>
      </x:c>
      <x:c r="J49" s="14" t="str">
        <x:v>https://www.conservation.ca.gov/calgem/Pages/WellSTAR.aspx</x:v>
      </x:c>
      <x:c r="K49" s="14" t="str">
        <x:v>Large field; coordinate is a representative centroid.</x:v>
      </x:c>
    </x:row>
    <x:row r="50">
      <x:c r="A50" s="14" t="str">
        <x:v>Jonah Gas Field</x:v>
      </x:c>
      <x:c r="B50" s="14" t="str">
        <x:v>Multiple operators</x:v>
      </x:c>
      <x:c r="C50" s="14" t="str">
        <x:v>WY</x:v>
      </x:c>
      <x:c r="D50" s="16" t="n">
        <x:v>42.93</x:v>
      </x:c>
      <x:c r="E50" s="16" t="n">
        <x:v>-109.78</x:v>
      </x:c>
      <x:c r="F50" s="17" t="str">
        <x:v>unknown</x:v>
      </x:c>
      <x:c r="G50" s="17" t="str">
        <x:v>natural_gas</x:v>
      </x:c>
      <x:c r="H50" s="14" t="str">
        <x:v>Pinedale</x:v>
      </x:c>
      <x:c r="I50" s="14" t="str">
        <x:v>approximate field centroid</x:v>
      </x:c>
      <x:c r="J50" s="14" t="str">
        <x:v>https://www.eia.gov/naturalgas/crudeoilreserves/</x:v>
      </x:c>
      <x:c r="K50" s="14" t="str">
        <x:v>Named field; not the excluded broad Marcellus or San Juan basin entries.</x:v>
      </x:c>
    </x:row>
    <x:row r="51">
      <x:c r="A51" s="14" t="str">
        <x:v>Pinedale Anticline Gas Field</x:v>
      </x:c>
      <x:c r="B51" s="14" t="str">
        <x:v>Multiple operators</x:v>
      </x:c>
      <x:c r="C51" s="14" t="str">
        <x:v>WY</x:v>
      </x:c>
      <x:c r="D51" s="16" t="n">
        <x:v>42.88</x:v>
      </x:c>
      <x:c r="E51" s="16" t="n">
        <x:v>-109.75</x:v>
      </x:c>
      <x:c r="F51" s="17" t="str">
        <x:v>unknown</x:v>
      </x:c>
      <x:c r="G51" s="17" t="str">
        <x:v>natural_gas</x:v>
      </x:c>
      <x:c r="H51" s="14" t="str">
        <x:v>Pinedale</x:v>
      </x:c>
      <x:c r="I51" s="14" t="str">
        <x:v>approximate field centroid</x:v>
      </x:c>
      <x:c r="J51" s="14" t="str">
        <x:v>https://www.blm.gov/programs/energy-and-minerals/oil-and-gas/about/wyoming/pinedale-anticline-project-office</x:v>
      </x:c>
      <x:c r="K51" s="14" t="str">
        <x:v>BLM project office source; coordinate represents the producing area.</x:v>
      </x:c>
    </x:row>
    <x:row r="52">
      <x:c r="A52" s="14" t="str">
        <x:v>Hugoton Gas Field</x:v>
      </x:c>
      <x:c r="B52" s="14" t="str">
        <x:v>Multiple operators</x:v>
      </x:c>
      <x:c r="C52" s="14" t="str">
        <x:v>KS</x:v>
      </x:c>
      <x:c r="D52" s="16" t="n">
        <x:v>37.3</x:v>
      </x:c>
      <x:c r="E52" s="16" t="n">
        <x:v>-101.4</x:v>
      </x:c>
      <x:c r="F52" s="17" t="str">
        <x:v>unknown</x:v>
      </x:c>
      <x:c r="G52" s="17" t="str">
        <x:v>natural_gas</x:v>
      </x:c>
      <x:c r="H52" s="14" t="str">
        <x:v>Liberal</x:v>
      </x:c>
      <x:c r="I52" s="14" t="str">
        <x:v>approximate field centroid</x:v>
      </x:c>
      <x:c r="J52" s="14" t="str">
        <x:v>https://www.eia.gov/naturalgas/crudeoilreserves/</x:v>
      </x:c>
      <x:c r="K52" s="14" t="str">
        <x:v>Large named field; coordinate is not a wellhead.</x:v>
      </x:c>
    </x:row>
    <x:row r="53">
      <x:c r="A53" s="14" t="str">
        <x:v>Wattenberg Gas Field</x:v>
      </x:c>
      <x:c r="B53" s="14" t="str">
        <x:v>Multiple operators</x:v>
      </x:c>
      <x:c r="C53" s="14" t="str">
        <x:v>CO</x:v>
      </x:c>
      <x:c r="D53" s="16" t="n">
        <x:v>40.15</x:v>
      </x:c>
      <x:c r="E53" s="16" t="n">
        <x:v>-104.7</x:v>
      </x:c>
      <x:c r="F53" s="17" t="str">
        <x:v>unknown</x:v>
      </x:c>
      <x:c r="G53" s="17" t="str">
        <x:v>natural_gas</x:v>
      </x:c>
      <x:c r="H53" s="14" t="str">
        <x:v>Greeley</x:v>
      </x:c>
      <x:c r="I53" s="14" t="str">
        <x:v>approximate field centroid</x:v>
      </x:c>
      <x:c r="J53" s="14" t="str">
        <x:v>https://www.eia.gov/naturalgas/crudeoilreserves/</x:v>
      </x:c>
      <x:c r="K53" s="14" t="str">
        <x:v>Large named field; coordinate is not a wellhead.</x:v>
      </x:c>
    </x:row>
  </x:sheetData>
  <x:conditionalFormatting sqref="F2:F53">
    <x:cfRule type="containsText" dxfId="0" priority="1" operator="containsText" text="unknown"/>
  </x:conditionalFormatting>
  <x:pageMargins left="0.7" right="0.7" top="0.75" bottom="0.75" header="0.3" footer="0.3"/>
  <x:tableParts count="1">
    <x:tablePart xmlns:r="http://schemas.openxmlformats.org/officeDocument/2006/relationships" r:id="Rb13af936700a42b2"/>
  </x:tableParts>
</x:worksheet>
</file>